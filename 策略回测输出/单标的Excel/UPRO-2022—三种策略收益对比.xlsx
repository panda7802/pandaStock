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bf09be20a649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678d9f2bfaff45e5"/>
    <x:sheet xmlns:r="http://schemas.openxmlformats.org/officeDocument/2006/relationships" name="数据与说明" sheetId="2" r:id="R7d7d8aa37ee242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dc500d71a849b5" /><Relationship Type="http://schemas.openxmlformats.org/officeDocument/2006/relationships/theme" Target="/xl/theme/theme1.xml" Id="Rcc49cde38c1e4e4c" /><Relationship Type="http://schemas.openxmlformats.org/officeDocument/2006/relationships/sharedStrings" Target="/xl/sharedStrings.xml" Id="R944205f9e75a48a9" /><Relationship Type="http://schemas.openxmlformats.org/officeDocument/2006/relationships/worksheet" Target="/xl/worksheets/sheet1.xml" Id="R678d9f2bfaff45e5" /><Relationship Type="http://schemas.openxmlformats.org/officeDocument/2006/relationships/worksheet" Target="/xl/worksheets/sheet2.xml" Id="R7d7d8aa37ee242e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600553ec503462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UPRO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'收益对比'!$A$13:$A$67</c:f>
              <c:strCache>
                <c:ptCount val="0"/>
              </c:strCache>
            </c:strRef>
          </c:cat>
          <c:val>
            <c:numRef>
              <c:f>'收益对比'!$B$13:$B$67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'收益对比'!$A$13:$A$67</c:f>
              <c:strCache>
                <c:ptCount val="0"/>
              </c:strCache>
            </c:strRef>
          </c:cat>
          <c:val>
            <c:numRef>
              <c:f>'收益对比'!$C$13:$C$67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'收益对比'!$A$13:$A$67</c:f>
              <c:strCache>
                <c:ptCount val="0"/>
              </c:strCache>
            </c:strRef>
          </c:cat>
          <c:val>
            <c:numRef>
              <c:f>'收益对比'!$D$13:$D$67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00553ec503462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b274898542f4d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UPRO｜2022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实际起始交易日：2022-01-03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0.0026225125737273647</x:v>
      </x:c>
      <x:c r="C5" s="22" t="n">
        <x:f>'数据与说明'!C12</x:f>
        <x:v>0.0005754023370740935</x:v>
      </x:c>
      <x:c r="D5" s="22" t="n">
        <x:f>'数据与说明'!D12</x:f>
        <x:v>-0.6267846917125703</x:v>
      </x:c>
      <x:c r="E5" s="22" t="n">
        <x:f>'数据与说明'!E12</x:f>
        <x:v>0.34553923334147757</x:v>
      </x:c>
      <x:c r="F5" s="22" t="n">
        <x:f>'数据与说明'!F12</x:f>
        <x:v>0.5800524934383202</x:v>
      </x:c>
      <x:c r="G5" s="23" t="n">
        <x:f>'数据与说明'!G12</x:f>
        <x:v>309</x:v>
      </x:c>
    </x:row>
    <x:row r="6" ht="24" customHeight="1">
      <x:c r="A6" s="17" t="str">
        <x:v>B</x:v>
      </x:c>
      <x:c r="B6" s="22" t="n">
        <x:f>'数据与说明'!B13</x:f>
        <x:v>1.9216450629889485</x:v>
      </x:c>
      <x:c r="C6" s="22" t="n">
        <x:f>'数据与说明'!C13</x:f>
        <x:v>0.26551484673366055</x:v>
      </x:c>
      <x:c r="D6" s="22" t="n">
        <x:f>'数据与说明'!D13</x:f>
        <x:v>-0.4126635293319446</x:v>
      </x:c>
      <x:c r="E6" s="22" t="n">
        <x:f>'数据与说明'!E13</x:f>
        <x:v>0.3971314093151042</x:v>
      </x:c>
      <x:c r="F6" s="22" t="n">
        <x:f>'数据与说明'!F13</x:f>
        <x:v>0.42082239720035</x:v>
      </x:c>
      <x:c r="G6" s="23" t="n">
        <x:f>'数据与说明'!G13</x:f>
        <x:v>310</x:v>
      </x:c>
    </x:row>
    <x:row r="7" ht="24" customHeight="1">
      <x:c r="A7" s="17" t="str">
        <x:v>C</x:v>
      </x:c>
      <x:c r="B7" s="22" t="n">
        <x:f>'数据与说明'!B14</x:f>
        <x:v>1.9293071139026132</x:v>
      </x:c>
      <x:c r="C7" s="22" t="n">
        <x:f>'数据与说明'!C14</x:f>
        <x:v>0.26624302693407387</x:v>
      </x:c>
      <x:c r="D7" s="22" t="n">
        <x:f>'数据与说明'!D14</x:f>
        <x:v>-0.6255950898048988</x:v>
      </x:c>
      <x:c r="E7" s="22" t="n">
        <x:f>'数据与说明'!E14</x:f>
        <x:v>0.5262680022571753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2022-01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2022-02</x:v>
      </x:c>
      <x:c r="B14" s="32" t="n">
        <x:v>-0.021546384140093022</x:v>
      </x:c>
      <x:c r="C14" s="32" t="n">
        <x:v>-0.1360894876258948</x:v>
      </x:c>
      <x:c r="D14" s="32" t="n">
        <x:v>-0.15470363538817167</x:v>
      </x:c>
    </x:row>
    <x:row r="15">
      <x:c r="A15" s="31" t="str">
        <x:v>2022-03</x:v>
      </x:c>
      <x:c r="B15" s="32" t="n">
        <x:v>-0.18070895999273107</x:v>
      </x:c>
      <x:c r="C15" s="32" t="n">
        <x:v>-0.12765706923874964</x:v>
      </x:c>
      <x:c r="D15" s="32" t="n">
        <x:v>-0.2852972530136261</x:v>
      </x:c>
    </x:row>
    <x:row r="16">
      <x:c r="A16" s="31" t="str">
        <x:v>2022-04</x:v>
      </x:c>
      <x:c r="B16" s="32" t="n">
        <x:v>-0.12450412945661893</x:v>
      </x:c>
      <x:c r="C16" s="32" t="n">
        <x:v>-0.050060264981299674</x:v>
      </x:c>
      <x:c r="D16" s="32" t="n">
        <x:v>-0.16833168472605398</x:v>
      </x:c>
    </x:row>
    <x:row r="17">
      <x:c r="A17" s="31" t="str">
        <x:v>2022-05</x:v>
      </x:c>
      <x:c r="B17" s="32" t="n">
        <x:v>-0.2862546533725856</x:v>
      </x:c>
      <x:c r="C17" s="32" t="n">
        <x:v>-0.12127051214479545</x:v>
      </x:c>
      <x:c r="D17" s="32" t="n">
        <x:v>-0.3728109170990562</x:v>
      </x:c>
    </x:row>
    <x:row r="18">
      <x:c r="A18" s="31" t="str">
        <x:v>2022-06</x:v>
      </x:c>
      <x:c r="B18" s="32" t="n">
        <x:v>-0.35629467543129123</x:v>
      </x:c>
      <x:c r="C18" s="32" t="n">
        <x:v>-0.08209885994214416</x:v>
      </x:c>
      <x:c r="D18" s="32" t="n">
        <x:v>-0.40914214871706944</x:v>
      </x:c>
    </x:row>
    <x:row r="19">
      <x:c r="A19" s="31" t="str">
        <x:v>2022-07</x:v>
      </x:c>
      <x:c r="B19" s="32" t="n">
        <x:v>-0.3486796044784458</x:v>
      </x:c>
      <x:c r="C19" s="32" t="n">
        <x:v>-0.27571183948626043</x:v>
      </x:c>
      <x:c r="D19" s="32" t="n">
        <x:v>-0.5282563488226117</x:v>
      </x:c>
    </x:row>
    <x:row r="20">
      <x:c r="A20" s="31" t="str">
        <x:v>2022-08</x:v>
      </x:c>
      <x:c r="B20" s="32" t="n">
        <x:v>-0.2592448664159842</x:v>
      </x:c>
      <x:c r="C20" s="32" t="n">
        <x:v>-0.21043057746335148</x:v>
      </x:c>
      <x:c r="D20" s="32" t="n">
        <x:v>-0.41512239693501063</x:v>
      </x:c>
    </x:row>
    <x:row r="21">
      <x:c r="A21" s="31" t="str">
        <x:v>2022-09</x:v>
      </x:c>
      <x:c r="B21" s="32" t="n">
        <x:v>-0.29460101879165446</x:v>
      </x:c>
      <x:c r="C21" s="32" t="n">
        <x:v>-0.2623654315119909</x:v>
      </x:c>
      <x:c r="D21" s="32" t="n">
        <x:v>-0.4796733268845006</x:v>
      </x:c>
    </x:row>
    <x:row r="22">
      <x:c r="A22" s="31" t="str">
        <x:v>2022-10</x:v>
      </x:c>
      <x:c r="B22" s="32" t="n">
        <x:v>-0.3666800084369791</x:v>
      </x:c>
      <x:c r="C22" s="32" t="n">
        <x:v>-0.35363562088054123</x:v>
      </x:c>
      <x:c r="D22" s="32" t="n">
        <x:v>-0.5906445168694272</x:v>
      </x:c>
    </x:row>
    <x:row r="23">
      <x:c r="A23" s="31" t="str">
        <x:v>2022-11</x:v>
      </x:c>
      <x:c r="B23" s="32" t="n">
        <x:v>-0.43343030626894574</x:v>
      </x:c>
      <x:c r="C23" s="32" t="n">
        <x:v>-0.18038665575473645</x:v>
      </x:c>
      <x:c r="D23" s="32" t="n">
        <x:v>-0.535631918573076</x:v>
      </x:c>
    </x:row>
    <x:row r="24">
      <x:c r="A24" s="31" t="str">
        <x:v>2022-12</x:v>
      </x:c>
      <x:c r="B24" s="32" t="n">
        <x:v>-0.5197568464706956</x:v>
      </x:c>
      <x:c r="C24" s="32" t="n">
        <x:v>0.12962533665086595</x:v>
      </x:c>
      <x:c r="D24" s="32" t="n">
        <x:v>-0.457505166020186</x:v>
      </x:c>
    </x:row>
    <x:row r="25">
      <x:c r="A25" s="31" t="str">
        <x:v>2023-01</x:v>
      </x:c>
      <x:c r="B25" s="32" t="n">
        <x:v>-0.6100834055930269</x:v>
      </x:c>
      <x:c r="C25" s="32" t="n">
        <x:v>0.142622604260783</x:v>
      </x:c>
      <x:c r="D25" s="32" t="n">
        <x:v>-0.5544724854542089</x:v>
      </x:c>
    </x:row>
    <x:row r="26">
      <x:c r="A26" s="31" t="str">
        <x:v>2023-02</x:v>
      </x:c>
      <x:c r="B26" s="32" t="n">
        <x:v>-0.5878277532595026</x:v>
      </x:c>
      <x:c r="C26" s="32" t="n">
        <x:v>0.34745975761924</x:v>
      </x:c>
      <x:c r="D26" s="32" t="n">
        <x:v>-0.4446144843096719</x:v>
      </x:c>
    </x:row>
    <x:row r="27">
      <x:c r="A27" s="31" t="str">
        <x:v>2023-03</x:v>
      </x:c>
      <x:c r="B27" s="32" t="n">
        <x:v>-0.617759432061292</x:v>
      </x:c>
      <x:c r="C27" s="32" t="n">
        <x:v>0.28262412349682786</x:v>
      </x:c>
      <x:c r="D27" s="32" t="n">
        <x:v>-0.5097290265826848</x:v>
      </x:c>
    </x:row>
    <x:row r="28">
      <x:c r="A28" s="31" t="str">
        <x:v>2023-04</x:v>
      </x:c>
      <x:c r="B28" s="32" t="n">
        <x:v>-0.5668937945654234</x:v>
      </x:c>
      <x:c r="C28" s="32" t="n">
        <x:v>0.2806277990892365</x:v>
      </x:c>
      <x:c r="D28" s="32" t="n">
        <x:v>-0.4453521533624274</x:v>
      </x:c>
    </x:row>
    <x:row r="29">
      <x:c r="A29" s="31" t="str">
        <x:v>2023-05</x:v>
      </x:c>
      <x:c r="B29" s="32" t="n">
        <x:v>-0.576551673036173</x:v>
      </x:c>
      <x:c r="C29" s="32" t="n">
        <x:v>0.3497773560808892</x:v>
      </x:c>
      <x:c r="D29" s="32" t="n">
        <x:v>-0.42843903679388995</x:v>
      </x:c>
    </x:row>
    <x:row r="30">
      <x:c r="A30" s="31" t="str">
        <x:v>2023-06</x:v>
      </x:c>
      <x:c r="B30" s="32" t="n">
        <x:v>-0.5991180703118146</x:v>
      </x:c>
      <x:c r="C30" s="32" t="n">
        <x:v>0.48530878529384336</x:v>
      </x:c>
      <x:c r="D30" s="32" t="n">
        <x:v>-0.40456654796858993</x:v>
      </x:c>
    </x:row>
    <x:row r="31">
      <x:c r="A31" s="31" t="str">
        <x:v>2023-07</x:v>
      </x:c>
      <x:c r="B31" s="32" t="n">
        <x:v>-0.5256835428443625</x:v>
      </x:c>
      <x:c r="C31" s="32" t="n">
        <x:v>0.47401320136814395</x:v>
      </x:c>
      <x:c r="D31" s="32" t="n">
        <x:v>-0.30085128052642274</x:v>
      </x:c>
    </x:row>
    <x:row r="32">
      <x:c r="A32" s="31" t="str">
        <x:v>2023-08</x:v>
      </x:c>
      <x:c r="B32" s="32" t="n">
        <x:v>-0.5152180848693411</x:v>
      </x:c>
      <x:c r="C32" s="32" t="n">
        <x:v>0.5669595624613655</x:v>
      </x:c>
      <x:c r="D32" s="32" t="n">
        <x:v>-0.24036634237767984</x:v>
      </x:c>
    </x:row>
    <x:row r="33">
      <x:c r="A33" s="31" t="str">
        <x:v>2023-09</x:v>
      </x:c>
      <x:c r="B33" s="32" t="n">
        <x:v>-0.5315795048481927</x:v>
      </x:c>
      <x:c r="C33" s="32" t="n">
        <x:v>0.5597052811751915</x:v>
      </x:c>
      <x:c r="D33" s="32" t="n">
        <x:v>-0.26940207990102794</x:v>
      </x:c>
    </x:row>
    <x:row r="34">
      <x:c r="A34" s="31" t="str">
        <x:v>2023-10</x:v>
      </x:c>
      <x:c r="B34" s="32" t="n">
        <x:v>-0.5503597441260254</x:v>
      </x:c>
      <x:c r="C34" s="32" t="n">
        <x:v>0.3905950102140008</x:v>
      </x:c>
      <x:c r="D34" s="32" t="n">
        <x:v>-0.374732503790304</x:v>
      </x:c>
    </x:row>
    <x:row r="35">
      <x:c r="A35" s="31" t="str">
        <x:v>2023-11</x:v>
      </x:c>
      <x:c r="B35" s="32" t="n">
        <x:v>-0.5667828295147777</x:v>
      </x:c>
      <x:c r="C35" s="32" t="n">
        <x:v>0.38927570237468423</x:v>
      </x:c>
      <x:c r="D35" s="32" t="n">
        <x:v>-0.39814191119336895</x:v>
      </x:c>
    </x:row>
    <x:row r="36">
      <x:c r="A36" s="31" t="str">
        <x:v>2023-12</x:v>
      </x:c>
      <x:c r="B36" s="32" t="n">
        <x:v>-0.4777602101666495</x:v>
      </x:c>
      <x:c r="C36" s="32" t="n">
        <x:v>0.4714926075583621</x:v>
      </x:c>
      <x:c r="D36" s="32" t="n">
        <x:v>-0.23152800988739164</x:v>
      </x:c>
    </x:row>
    <x:row r="37">
      <x:c r="A37" s="31" t="str">
        <x:v>2024-01</x:v>
      </x:c>
      <x:c r="B37" s="32" t="n">
        <x:v>-0.43680500282393464</x:v>
      </x:c>
      <x:c r="C37" s="32" t="n">
        <x:v>0.5036031265005065</x:v>
      </x:c>
      <x:c r="D37" s="32" t="n">
        <x:v>-0.15317824141662384</x:v>
      </x:c>
    </x:row>
    <x:row r="38">
      <x:c r="A38" s="31" t="str">
        <x:v>2024-02</x:v>
      </x:c>
      <x:c r="B38" s="32" t="n">
        <x:v>-0.413645319778591</x:v>
      </x:c>
      <x:c r="C38" s="32" t="n">
        <x:v>0.5958557926789736</x:v>
      </x:c>
      <x:c r="D38" s="32" t="n">
        <x:v>-0.06426248700423687</x:v>
      </x:c>
    </x:row>
    <x:row r="39">
      <x:c r="A39" s="31" t="str">
        <x:v>2024-03</x:v>
      </x:c>
      <x:c r="B39" s="32" t="n">
        <x:v>-0.40349294538799585</x:v>
      </x:c>
      <x:c r="C39" s="32" t="n">
        <x:v>0.8012355386916388</x:v>
      </x:c>
      <x:c r="D39" s="32" t="n">
        <x:v>0.07444970584741606</x:v>
      </x:c>
    </x:row>
    <x:row r="40">
      <x:c r="A40" s="31" t="str">
        <x:v>2024-04</x:v>
      </x:c>
      <x:c r="B40" s="32" t="n">
        <x:v>-0.4250050876372047</x:v>
      </x:c>
      <x:c r="C40" s="32" t="n">
        <x:v>0.9866574063644005</x:v>
      </x:c>
      <x:c r="D40" s="32" t="n">
        <x:v>0.14231790126739674</x:v>
      </x:c>
    </x:row>
    <x:row r="41">
      <x:c r="A41" s="31" t="str">
        <x:v>2024-05</x:v>
      </x:c>
      <x:c r="B41" s="32" t="n">
        <x:v>-0.48570732608140643</x:v>
      </x:c>
      <x:c r="C41" s="32" t="n">
        <x:v>0.9452118414706796</x:v>
      </x:c>
      <x:c r="D41" s="32" t="n">
        <x:v>0.0004081992880671237</x:v>
      </x:c>
    </x:row>
    <x:row r="42">
      <x:c r="A42" s="31" t="str">
        <x:v>2024-06</x:v>
      </x:c>
      <x:c r="B42" s="32" t="n">
        <x:v>-0.4377395454555789</x:v>
      </x:c>
      <x:c r="C42" s="32" t="n">
        <x:v>1.0832102055173798</x:v>
      </x:c>
      <x:c r="D42" s="32" t="n">
        <x:v>0.1713067170657785</x:v>
      </x:c>
    </x:row>
    <x:row r="43">
      <x:c r="A43" s="31" t="str">
        <x:v>2024-07</x:v>
      </x:c>
      <x:c r="B43" s="32" t="n">
        <x:v>-0.37932617221239706</x:v>
      </x:c>
      <x:c r="C43" s="32" t="n">
        <x:v>1.09961044630067</x:v>
      </x:c>
      <x:c r="D43" s="32" t="n">
        <x:v>0.30317325256827354</x:v>
      </x:c>
    </x:row>
    <x:row r="44">
      <x:c r="A44" s="31" t="str">
        <x:v>2024-08</x:v>
      </x:c>
      <x:c r="B44" s="32" t="n">
        <x:v>-0.4307049175967709</x:v>
      </x:c>
      <x:c r="C44" s="32" t="n">
        <x:v>1.2466959492723162</x:v>
      </x:c>
      <x:c r="D44" s="32" t="n">
        <x:v>0.2790329555759845</x:v>
      </x:c>
    </x:row>
    <x:row r="45">
      <x:c r="A45" s="31" t="str">
        <x:v>2024-09</x:v>
      </x:c>
      <x:c r="B45" s="32" t="n">
        <x:v>-0.39875653147215684</x:v>
      </x:c>
      <x:c r="C45" s="32" t="n">
        <x:v>1.2133827820666734</x:v>
      </x:c>
      <x:c r="D45" s="32" t="n">
        <x:v>0.33078194106957426</x:v>
      </x:c>
    </x:row>
    <x:row r="46">
      <x:c r="A46" s="31" t="str">
        <x:v>2024-10</x:v>
      </x:c>
      <x:c r="B46" s="32" t="n">
        <x:v>-0.35910084282886257</x:v>
      </x:c>
      <x:c r="C46" s="32" t="n">
        <x:v>1.2822800789362176</x:v>
      </x:c>
      <x:c r="D46" s="32" t="n">
        <x:v>0.46271137901869897</x:v>
      </x:c>
    </x:row>
    <x:row r="47">
      <x:c r="A47" s="31" t="str">
        <x:v>2024-11</x:v>
      </x:c>
      <x:c r="B47" s="32" t="n">
        <x:v>-0.36398527235625555</x:v>
      </x:c>
      <x:c r="C47" s="32" t="n">
        <x:v>1.3220482958464963</x:v>
      </x:c>
      <x:c r="D47" s="32" t="n">
        <x:v>0.4768569144584307</x:v>
      </x:c>
    </x:row>
    <x:row r="48">
      <x:c r="A48" s="31" t="str">
        <x:v>2024-12</x:v>
      </x:c>
      <x:c r="B48" s="32" t="n">
        <x:v>-0.2473847090051745</x:v>
      </x:c>
      <x:c r="C48" s="32" t="n">
        <x:v>1.3096056537263996</x:v>
      </x:c>
      <x:c r="D48" s="32" t="n">
        <x:v>0.7382445311625889</x:v>
      </x:c>
    </x:row>
    <x:row r="49">
      <x:c r="A49" s="31" t="str">
        <x:v>2025-01</x:v>
      </x:c>
      <x:c r="B49" s="32" t="n">
        <x:v>-0.26383775486543615</x:v>
      </x:c>
      <x:c r="C49" s="32" t="n">
        <x:v>1.1558290894162737</x:v>
      </x:c>
      <x:c r="D49" s="32" t="n">
        <x:v>0.5870399825910879</x:v>
      </x:c>
    </x:row>
    <x:row r="50">
      <x:c r="A50" s="31" t="str">
        <x:v>2025-02</x:v>
      </x:c>
      <x:c r="B50" s="32" t="n">
        <x:v>-0.26507016506969294</x:v>
      </x:c>
      <x:c r="C50" s="32" t="n">
        <x:v>1.2976096403959136</x:v>
      </x:c>
      <x:c r="D50" s="32" t="n">
        <x:v>0.6885818737504525</x:v>
      </x:c>
    </x:row>
    <x:row r="51">
      <x:c r="A51" s="31" t="str">
        <x:v>2025-03</x:v>
      </x:c>
      <x:c r="B51" s="32" t="n">
        <x:v>-0.31042782096254096</x:v>
      </x:c>
      <x:c r="C51" s="32" t="n">
        <x:v>1.2702470859975485</x:v>
      </x:c>
      <x:c r="D51" s="32" t="n">
        <x:v>0.565499230044773</x:v>
      </x:c>
    </x:row>
    <x:row r="52">
      <x:c r="A52" s="31" t="str">
        <x:v>2025-04</x:v>
      </x:c>
      <x:c r="B52" s="32" t="n">
        <x:v>-0.28416614027936704</x:v>
      </x:c>
      <x:c r="C52" s="32" t="n">
        <x:v>0.9387582572495508</x:v>
      </x:c>
      <x:c r="D52" s="32" t="n">
        <x:v>0.3878288063521953</x:v>
      </x:c>
    </x:row>
    <x:row r="53">
      <x:c r="A53" s="31" t="str">
        <x:v>2025-05</x:v>
      </x:c>
      <x:c r="B53" s="32" t="n">
        <x:v>-0.36974843786777667</x:v>
      </x:c>
      <x:c r="C53" s="32" t="n">
        <x:v>1.0410350384891647</x:v>
      </x:c>
      <x:c r="D53" s="32" t="n">
        <x:v>0.2863655213744003</x:v>
      </x:c>
    </x:row>
    <x:row r="54">
      <x:c r="A54" s="31" t="str">
        <x:v>2025-06</x:v>
      </x:c>
      <x:c r="B54" s="32" t="n">
        <x:v>-0.3053694999513452</x:v>
      </x:c>
      <x:c r="C54" s="32" t="n">
        <x:v>1.1982908879887466</x:v>
      </x:c>
      <x:c r="D54" s="32" t="n">
        <x:v>0.5269998987760267</x:v>
      </x:c>
    </x:row>
    <x:row r="55">
      <x:c r="A55" s="31" t="str">
        <x:v>2025-07</x:v>
      </x:c>
      <x:c r="B55" s="32" t="n">
        <x:v>-0.269869571519571</x:v>
      </x:c>
      <x:c r="C55" s="32" t="n">
        <x:v>1.3818844916933912</x:v>
      </x:c>
      <x:c r="D55" s="32" t="n">
        <x:v>0.7390863445109872</x:v>
      </x:c>
    </x:row>
    <x:row r="56">
      <x:c r="A56" s="31" t="str">
        <x:v>2025-08</x:v>
      </x:c>
      <x:c r="B56" s="32" t="n">
        <x:v>-0.22825119675557537</x:v>
      </x:c>
      <x:c r="C56" s="32" t="n">
        <x:v>1.2937286407398951</x:v>
      </x:c>
      <x:c r="D56" s="32" t="n">
        <x:v>0.7701823334584779</x:v>
      </x:c>
    </x:row>
    <x:row r="57">
      <x:c r="A57" s="31" t="str">
        <x:v>2025-09</x:v>
      </x:c>
      <x:c r="B57" s="32" t="n">
        <x:v>-0.19078187844510353</x:v>
      </x:c>
      <x:c r="C57" s="32" t="n">
        <x:v>1.382615846124681</x:v>
      </x:c>
      <x:c r="D57" s="32" t="n">
        <x:v>0.9280559193879478</x:v>
      </x:c>
    </x:row>
    <x:row r="58">
      <x:c r="A58" s="31" t="str">
        <x:v>2025-10</x:v>
      </x:c>
      <x:c r="B58" s="32" t="n">
        <x:v>-0.1199844658008965</x:v>
      </x:c>
      <x:c r="C58" s="32" t="n">
        <x:v>1.5107707492542444</x:v>
      </x:c>
      <x:c r="D58" s="32" t="n">
        <x:v>1.209517262156461</x:v>
      </x:c>
    </x:row>
    <x:row r="59">
      <x:c r="A59" s="31" t="str">
        <x:v>2025-11</x:v>
      </x:c>
      <x:c r="B59" s="32" t="n">
        <x:v>-0.15751875774943214</x:v>
      </x:c>
      <x:c r="C59" s="32" t="n">
        <x:v>1.7875882646562298</x:v>
      </x:c>
      <x:c r="D59" s="32" t="n">
        <x:v>1.3484908240906885</x:v>
      </x:c>
    </x:row>
    <x:row r="60">
      <x:c r="A60" s="31" t="str">
        <x:v>2025-12</x:v>
      </x:c>
      <x:c r="B60" s="32" t="n">
        <x:v>-0.15055957788911256</x:v>
      </x:c>
      <x:c r="C60" s="32" t="n">
        <x:v>1.7136942385354983</x:v>
      </x:c>
      <x:c r="D60" s="32" t="n">
        <x:v>1.3051215794614812</x:v>
      </x:c>
    </x:row>
    <x:row r="61">
      <x:c r="A61" s="31" t="str">
        <x:v>2026-01</x:v>
      </x:c>
      <x:c r="B61" s="32" t="n">
        <x:v>-0.13301397152379157</x:v>
      </x:c>
      <x:c r="C61" s="32" t="n">
        <x:v>1.7118855815295873</x:v>
      </x:c>
      <x:c r="D61" s="32" t="n">
        <x:v>1.351166910012234</x:v>
      </x:c>
    </x:row>
    <x:row r="62">
      <x:c r="A62" s="31" t="str">
        <x:v>2026-02</x:v>
      </x:c>
      <x:c r="B62" s="32" t="n">
        <x:v>-0.11198529033076765</x:v>
      </x:c>
      <x:c r="C62" s="32" t="n">
        <x:v>1.785483145344244</x:v>
      </x:c>
      <x:c r="D62" s="32" t="n">
        <x:v>1.4735500066014136</x:v>
      </x:c>
    </x:row>
    <x:row r="63">
      <x:c r="A63" s="31" t="str">
        <x:v>2026-03</x:v>
      </x:c>
      <x:c r="B63" s="32" t="n">
        <x:v>-0.18949572438126983</x:v>
      </x:c>
      <x:c r="C63" s="32" t="n">
        <x:v>1.9234671022417018</x:v>
      </x:c>
      <x:c r="D63" s="32" t="n">
        <x:v>1.3694825859976034</x:v>
      </x:c>
    </x:row>
    <x:row r="64">
      <x:c r="A64" s="31" t="str">
        <x:v>2026-04</x:v>
      </x:c>
      <x:c r="B64" s="32" t="n">
        <x:v>-0.24841695986123224</x:v>
      </x:c>
      <x:c r="C64" s="32" t="n">
        <x:v>1.7416529698607852</x:v>
      </x:c>
      <x:c r="D64" s="32" t="n">
        <x:v>1.060579874093455</x:v>
      </x:c>
    </x:row>
    <x:row r="65">
      <x:c r="A65" s="31" t="str">
        <x:v>2026-05</x:v>
      </x:c>
      <x:c r="B65" s="32" t="n">
        <x:v>-0.08273581309784761</x:v>
      </x:c>
      <x:c r="C65" s="32" t="n">
        <x:v>1.9755212938493716</x:v>
      </x:c>
      <x:c r="D65" s="32" t="n">
        <x:v>1.7293391202127917</x:v>
      </x:c>
    </x:row>
    <x:row r="66">
      <x:c r="A66" s="31" t="str">
        <x:v>2026-06</x:v>
      </x:c>
      <x:c r="B66" s="32" t="n">
        <x:v>0.058501830653514775</x:v>
      </x:c>
      <x:c r="C66" s="32" t="n">
        <x:v>1.9993788427847075</x:v>
      </x:c>
      <x:c r="D66" s="32" t="n">
        <x:v>2.1748479959110423</x:v>
      </x:c>
    </x:row>
    <x:row r="67">
      <x:c r="A67" s="31" t="str">
        <x:v>2026-07</x:v>
      </x:c>
      <x:c r="B67" s="32" t="n">
        <x:v>0.06247010156780619</x:v>
      </x:c>
      <x:c r="C67" s="32" t="n">
        <x:v>1.8397319953020932</x:v>
      </x:c>
      <x:c r="D67" s="32" t="n">
        <x:v>2.017130341473973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67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0b274898542f4db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UPRO</x:v>
      </x:c>
    </x:row>
    <x:row r="5" ht="24" customHeight="1">
      <x:c r="A5" s="37" t="str">
        <x:v>用户指定起始年</x:v>
      </x:c>
      <x:c r="B5" s="37" t="n">
        <x:v>2022</x:v>
      </x:c>
    </x:row>
    <x:row r="6" ht="42" customHeight="1">
      <x:c r="A6" s="37" t="str">
        <x:v>实际首个交易日</x:v>
      </x:c>
      <x:c r="B6" s="37" t="str">
        <x:v>2022-01-03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SPY 的逐日总收益，按每日 +3 倍复利模拟；底层来源：https://totalrealreturns.com/n/SPY?start=1993-01-29&amp;end=2026-07-24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0.0026225125737273647</x:v>
      </x:c>
      <x:c r="C12" s="20" t="n">
        <x:v>0.0005754023370740935</x:v>
      </x:c>
      <x:c r="D12" s="20" t="n">
        <x:v>-0.6267846917125703</x:v>
      </x:c>
      <x:c r="E12" s="20" t="n">
        <x:v>0.34553923334147757</x:v>
      </x:c>
      <x:c r="F12" s="20" t="n">
        <x:v>0.5800524934383202</x:v>
      </x:c>
      <x:c r="G12" s="21" t="n">
        <x:v>309</x:v>
      </x:c>
    </x:row>
    <x:row r="13" ht="24" customHeight="1">
      <x:c r="A13" s="17" t="str">
        <x:v>B</x:v>
      </x:c>
      <x:c r="B13" s="20" t="n">
        <x:v>1.9216450629889485</x:v>
      </x:c>
      <x:c r="C13" s="20" t="n">
        <x:v>0.26551484673366055</x:v>
      </x:c>
      <x:c r="D13" s="20" t="n">
        <x:v>-0.4126635293319446</x:v>
      </x:c>
      <x:c r="E13" s="20" t="n">
        <x:v>0.3971314093151042</x:v>
      </x:c>
      <x:c r="F13" s="20" t="n">
        <x:v>0.42082239720035</x:v>
      </x:c>
      <x:c r="G13" s="21" t="n">
        <x:v>310</x:v>
      </x:c>
    </x:row>
    <x:row r="14" ht="24" customHeight="1">
      <x:c r="A14" s="17" t="str">
        <x:v>C</x:v>
      </x:c>
      <x:c r="B14" s="20" t="n">
        <x:v>1.9293071139026132</x:v>
      </x:c>
      <x:c r="C14" s="20" t="n">
        <x:v>0.26624302693407387</x:v>
      </x:c>
      <x:c r="D14" s="20" t="n">
        <x:v>-0.6255950898048988</x:v>
      </x:c>
      <x:c r="E14" s="20" t="n">
        <x:v>0.5262680022571753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