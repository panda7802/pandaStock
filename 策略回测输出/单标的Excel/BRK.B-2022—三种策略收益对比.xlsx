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217d918aca41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b50a525408b44bc1"/>
    <x:sheet xmlns:r="http://schemas.openxmlformats.org/officeDocument/2006/relationships" name="数据与说明" sheetId="2" r:id="R03209b0bca7143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f9905cc0074495" /><Relationship Type="http://schemas.openxmlformats.org/officeDocument/2006/relationships/theme" Target="/xl/theme/theme1.xml" Id="Rc9174de587384e5c" /><Relationship Type="http://schemas.openxmlformats.org/officeDocument/2006/relationships/sharedStrings" Target="/xl/sharedStrings.xml" Id="R11978171f9654269" /><Relationship Type="http://schemas.openxmlformats.org/officeDocument/2006/relationships/worksheet" Target="/xl/worksheets/sheet1.xml" Id="Rb50a525408b44bc1" /><Relationship Type="http://schemas.openxmlformats.org/officeDocument/2006/relationships/worksheet" Target="/xl/worksheets/sheet2.xml" Id="R03209b0bca71433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6ab81e4e90e43b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BRK.B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'收益对比'!$B$13:$B$67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'收益对比'!$C$13:$C$67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'收益对比'!$D$13:$D$67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ab81e4e90e43b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e3a56072c7847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BRK.B｜2022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实际起始交易日：2022-01-03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0.34675841111170236</x:v>
      </x:c>
      <x:c r="C5" s="22" t="n">
        <x:f>'数据与说明'!C12</x:f>
        <x:v>0.06756987167696282</x:v>
      </x:c>
      <x:c r="D5" s="22" t="n">
        <x:f>'数据与说明'!D12</x:f>
        <x:v>-0.19413340700897563</x:v>
      </x:c>
      <x:c r="E5" s="22" t="n">
        <x:f>'数据与说明'!E12</x:f>
        <x:v>0.11979642385837695</x:v>
      </x:c>
      <x:c r="F5" s="22" t="n">
        <x:f>'数据与说明'!F12</x:f>
        <x:v>0.531933508311461</x:v>
      </x:c>
      <x:c r="G5" s="23" t="n">
        <x:f>'数据与说明'!G12</x:f>
        <x:v>276</x:v>
      </x:c>
    </x:row>
    <x:row r="6" ht="24" customHeight="1">
      <x:c r="A6" s="17" t="str">
        <x:v>B</x:v>
      </x:c>
      <x:c r="B6" s="22" t="n">
        <x:f>'数据与说明'!B13</x:f>
        <x:v>0.2217734570510379</x:v>
      </x:c>
      <x:c r="C6" s="22" t="n">
        <x:f>'数据与说明'!C13</x:f>
        <x:v>0.044975340710933454</x:v>
      </x:c>
      <x:c r="D6" s="22" t="n">
        <x:f>'数据与说明'!D13</x:f>
        <x:v>-0.1851254307093868</x:v>
      </x:c>
      <x:c r="E6" s="22" t="n">
        <x:f>'数据与说明'!E13</x:f>
        <x:v>0.12633748698498184</x:v>
      </x:c>
      <x:c r="F6" s="22" t="n">
        <x:f>'数据与说明'!F13</x:f>
        <x:v>0.4689413823272091</x:v>
      </x:c>
      <x:c r="G6" s="23" t="n">
        <x:f>'数据与说明'!G13</x:f>
        <x:v>277</x:v>
      </x:c>
    </x:row>
    <x:row r="7" ht="24" customHeight="1">
      <x:c r="A7" s="17" t="str">
        <x:v>C</x:v>
      </x:c>
      <x:c r="B7" s="22" t="n">
        <x:f>'数据与说明'!B14</x:f>
        <x:v>0.6454336797565108</x:v>
      </x:c>
      <x:c r="C7" s="22" t="n">
        <x:f>'数据与说明'!C14</x:f>
        <x:v>0.11558419038836232</x:v>
      </x:c>
      <x:c r="D7" s="22" t="n">
        <x:f>'数据与说明'!D14</x:f>
        <x:v>-0.2657896747833375</x:v>
      </x:c>
      <x:c r="E7" s="22" t="n">
        <x:f>'数据与说明'!E14</x:f>
        <x:v>0.17401764989625682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2022-01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2022-02</x:v>
      </x:c>
      <x:c r="B14" s="32" t="n">
        <x:v>0.08101219983508345</x:v>
      </x:c>
      <x:c r="C14" s="32" t="n">
        <x:v>-0.03443755739574017</x:v>
      </x:c>
      <x:c r="D14" s="32" t="n">
        <x:v>0.04378478015776732</x:v>
      </x:c>
    </x:row>
    <x:row r="15">
      <x:c r="A15" s="31" t="str">
        <x:v>2022-03</x:v>
      </x:c>
      <x:c r="B15" s="32" t="n">
        <x:v>0.0853492676536054</x:v>
      </x:c>
      <x:c r="C15" s="32" t="n">
        <x:v>-0.02947413804959509</x:v>
      </x:c>
      <x:c r="D15" s="32" t="n">
        <x:v>0.053359533506755596</x:v>
      </x:c>
    </x:row>
    <x:row r="16">
      <x:c r="A16" s="31" t="str">
        <x:v>2022-04</x:v>
      </x:c>
      <x:c r="B16" s="32" t="n">
        <x:v>0.1989519794330572</x:v>
      </x:c>
      <x:c r="C16" s="32" t="n">
        <x:v>-0.024270606860694044</x:v>
      </x:c>
      <x:c r="D16" s="32" t="n">
        <x:v>0.1698526872953856</x:v>
      </x:c>
    </x:row>
    <x:row r="17">
      <x:c r="A17" s="31" t="str">
        <x:v>2022-05</x:v>
      </x:c>
      <x:c r="B17" s="32" t="n">
        <x:v>0.1590618731646538</x:v>
      </x:c>
      <x:c r="C17" s="32" t="n">
        <x:v>-0.08732424601130484</x:v>
      </x:c>
      <x:c r="D17" s="32" t="n">
        <x:v>0.05784766901009908</x:v>
      </x:c>
    </x:row>
    <x:row r="18">
      <x:c r="A18" s="31" t="str">
        <x:v>2022-06</x:v>
      </x:c>
      <x:c r="B18" s="32" t="n">
        <x:v>0.10880322478274684</x:v>
      </x:c>
      <x:c r="C18" s="32" t="n">
        <x:v>-0.06388552301473482</x:v>
      </x:c>
      <x:c r="D18" s="32" t="n">
        <x:v>0.037966750847076236</x:v>
      </x:c>
    </x:row>
    <x:row r="19">
      <x:c r="A19" s="31" t="str">
        <x:v>2022-07</x:v>
      </x:c>
      <x:c r="B19" s="32" t="n">
        <x:v>0.07265868868833558</x:v>
      </x:c>
      <x:c r="C19" s="32" t="n">
        <x:v>-0.1399215766683689</x:v>
      </x:c>
      <x:c r="D19" s="32" t="n">
        <x:v>-0.07742940625996131</x:v>
      </x:c>
    </x:row>
    <x:row r="20">
      <x:c r="A20" s="31" t="str">
        <x:v>2022-08</x:v>
      </x:c>
      <x:c r="B20" s="32" t="n">
        <x:v>0.09035427702628929</x:v>
      </x:c>
      <x:c r="C20" s="32" t="n">
        <x:v>-0.09789886843348461</x:v>
      </x:c>
      <x:c r="D20" s="32" t="n">
        <x:v>-0.0163901728861946</x:v>
      </x:c>
    </x:row>
    <x:row r="21">
      <x:c r="A21" s="31" t="str">
        <x:v>2022-09</x:v>
      </x:c>
      <x:c r="B21" s="32" t="n">
        <x:v>0.05494827914082334</x:v>
      </x:c>
      <x:c r="C21" s="32" t="n">
        <x:v>-0.10994616021275705</x:v>
      </x:c>
      <x:c r="D21" s="32" t="n">
        <x:v>-0.06103923337376571</x:v>
      </x:c>
    </x:row>
    <x:row r="22">
      <x:c r="A22" s="31" t="str">
        <x:v>2022-10</x:v>
      </x:c>
      <x:c r="B22" s="32" t="n">
        <x:v>0.019633496785044446</x:v>
      </x:c>
      <x:c r="C22" s="32" t="n">
        <x:v>-0.11051859581876655</x:v>
      </x:c>
      <x:c r="D22" s="32" t="n">
        <x:v>-0.09305496552941694</x:v>
      </x:c>
    </x:row>
    <x:row r="23">
      <x:c r="A23" s="31" t="str">
        <x:v>2022-11</x:v>
      </x:c>
      <x:c r="B23" s="32" t="n">
        <x:v>0.03839902609647927</x:v>
      </x:c>
      <x:c r="C23" s="32" t="n">
        <x:v>-0.05830196480594341</x:v>
      </x:c>
      <x:c r="D23" s="32" t="n">
        <x:v>-0.02214167737752304</x:v>
      </x:c>
    </x:row>
    <x:row r="24">
      <x:c r="A24" s="31" t="str">
        <x:v>2022-12</x:v>
      </x:c>
      <x:c r="B24" s="32" t="n">
        <x:v>0.08194813461906048</x:v>
      </x:c>
      <x:c r="C24" s="32" t="n">
        <x:v>-0.029496011717734416</x:v>
      </x:c>
      <x:c r="D24" s="32" t="n">
        <x:v>0.05003497976235627</x:v>
      </x:c>
    </x:row>
    <x:row r="25">
      <x:c r="A25" s="31" t="str">
        <x:v>2023-01</x:v>
      </x:c>
      <x:c r="B25" s="32" t="n">
        <x:v>0.01839533255005854</x:v>
      </x:c>
      <x:c r="C25" s="32" t="n">
        <x:v>0.01170940172699364</x:v>
      </x:c>
      <x:c r="D25" s="32" t="n">
        <x:v>0.030320132615782924</x:v>
      </x:c>
    </x:row>
    <x:row r="26">
      <x:c r="A26" s="31" t="str">
        <x:v>2023-02</x:v>
      </x:c>
      <x:c r="B26" s="32" t="n">
        <x:v>0.03642357074736857</x:v>
      </x:c>
      <x:c r="C26" s="32" t="n">
        <x:v>-0.003771820563312933</x:v>
      </x:c>
      <x:c r="D26" s="32" t="n">
        <x:v>0.032514367010922474</x:v>
      </x:c>
    </x:row>
    <x:row r="27">
      <x:c r="A27" s="31" t="str">
        <x:v>2023-03</x:v>
      </x:c>
      <x:c r="B27" s="32" t="n">
        <x:v>0.013794075881094159</x:v>
      </x:c>
      <x:c r="C27" s="32" t="n">
        <x:v>-0.001046524482014033</x:v>
      </x:c>
      <x:c r="D27" s="32" t="n">
        <x:v>0.01273311556096468</x:v>
      </x:c>
    </x:row>
    <x:row r="28">
      <x:c r="A28" s="31" t="str">
        <x:v>2023-04</x:v>
      </x:c>
      <x:c r="B28" s="32" t="n">
        <x:v>0.0595777458003115</x:v>
      </x:c>
      <x:c r="C28" s="32" t="n">
        <x:v>-0.02635740462450764</x:v>
      </x:c>
      <x:c r="D28" s="32" t="n">
        <x:v>0.03165002642312964</x:v>
      </x:c>
    </x:row>
    <x:row r="29">
      <x:c r="A29" s="31" t="str">
        <x:v>2023-05</x:v>
      </x:c>
      <x:c r="B29" s="32" t="n">
        <x:v>0.10769314688007348</x:v>
      </x:c>
      <x:c r="C29" s="32" t="n">
        <x:v>-0.00904311472613284</x:v>
      </x:c>
      <x:c r="D29" s="32" t="n">
        <x:v>0.0976761506714865</x:v>
      </x:c>
    </x:row>
    <x:row r="30">
      <x:c r="A30" s="31" t="str">
        <x:v>2023-06</x:v>
      </x:c>
      <x:c r="B30" s="32" t="n">
        <x:v>0.08438988147521376</x:v>
      </x:c>
      <x:c r="C30" s="32" t="n">
        <x:v>-0.00936198294759727</x:v>
      </x:c>
      <x:c r="D30" s="32" t="n">
        <x:v>0.07423784189629612</x:v>
      </x:c>
    </x:row>
    <x:row r="31">
      <x:c r="A31" s="31" t="str">
        <x:v>2023-07</x:v>
      </x:c>
      <x:c r="B31" s="32" t="n">
        <x:v>0.13840072762377864</x:v>
      </x:c>
      <x:c r="C31" s="32" t="n">
        <x:v>-0.0012252191783794775</x:v>
      </x:c>
      <x:c r="D31" s="32" t="n">
        <x:v>0.13700593721961307</x:v>
      </x:c>
    </x:row>
    <x:row r="32">
      <x:c r="A32" s="31" t="str">
        <x:v>2023-08</x:v>
      </x:c>
      <x:c r="B32" s="32" t="n">
        <x:v>0.13952212408990605</x:v>
      </x:c>
      <x:c r="C32" s="32" t="n">
        <x:v>0.02772559788490203</x:v>
      </x:c>
      <x:c r="D32" s="32" t="n">
        <x:v>0.17111605628337245</x:v>
      </x:c>
    </x:row>
    <x:row r="33">
      <x:c r="A33" s="31" t="str">
        <x:v>2023-09</x:v>
      </x:c>
      <x:c r="B33" s="32" t="n">
        <x:v>0.1404942484157392</x:v>
      </x:c>
      <x:c r="C33" s="32" t="n">
        <x:v>0.05658300652976056</x:v>
      </x:c>
      <x:c r="D33" s="32" t="n">
        <x:v>0.20502684192100173</x:v>
      </x:c>
    </x:row>
    <x:row r="34">
      <x:c r="A34" s="31" t="str">
        <x:v>2023-10</x:v>
      </x:c>
      <x:c r="B34" s="32" t="n">
        <x:v>0.15038349614961977</x:v>
      </x:c>
      <x:c r="C34" s="32" t="n">
        <x:v>0.005942246943499319</x:v>
      </x:c>
      <x:c r="D34" s="32" t="n">
        <x:v>0.15721935896346761</x:v>
      </x:c>
    </x:row>
    <x:row r="35">
      <x:c r="A35" s="31" t="str">
        <x:v>2023-11</x:v>
      </x:c>
      <x:c r="B35" s="32" t="n">
        <x:v>0.16372258390180217</x:v>
      </x:c>
      <x:c r="C35" s="32" t="n">
        <x:v>-0.017958418664892117</x:v>
      </x:c>
      <x:c r="D35" s="32" t="n">
        <x:v>0.14282396653030394</x:v>
      </x:c>
    </x:row>
    <x:row r="36">
      <x:c r="A36" s="31" t="str">
        <x:v>2023-12</x:v>
      </x:c>
      <x:c r="B36" s="32" t="n">
        <x:v>0.2162093921287973</x:v>
      </x:c>
      <x:c r="C36" s="32" t="n">
        <x:v>-0.023928503620997632</x:v>
      </x:c>
      <x:c r="D36" s="32" t="n">
        <x:v>0.1871073212853529</x:v>
      </x:c>
    </x:row>
    <x:row r="37">
      <x:c r="A37" s="31" t="str">
        <x:v>2024-01</x:v>
      </x:c>
      <x:c r="B37" s="32" t="n">
        <x:v>0.19880902315615834</x:v>
      </x:c>
      <x:c r="C37" s="32" t="n">
        <x:v>0.005186663300609018</x:v>
      </x:c>
      <x:c r="D37" s="32" t="n">
        <x:v>0.20502684192100218</x:v>
      </x:c>
    </x:row>
    <x:row r="38">
      <x:c r="A38" s="31" t="str">
        <x:v>2024-02</x:v>
      </x:c>
      <x:c r="B38" s="32" t="n">
        <x:v>0.2725531362546689</x:v>
      </x:c>
      <x:c r="C38" s="32" t="n">
        <x:v>0.009584726126552479</x:v>
      </x:c>
      <x:c r="D38" s="32" t="n">
        <x:v>0.284750209547157</x:v>
      </x:c>
    </x:row>
    <x:row r="39">
      <x:c r="A39" s="31" t="str">
        <x:v>2024-03</x:v>
      </x:c>
      <x:c r="B39" s="32" t="n">
        <x:v>0.33419242422986306</x:v>
      </x:c>
      <x:c r="C39" s="32" t="n">
        <x:v>0.014448319990404412</x:v>
      </x:c>
      <x:c r="D39" s="32" t="n">
        <x:v>0.3534692633039116</x:v>
      </x:c>
    </x:row>
    <x:row r="40">
      <x:c r="A40" s="31" t="str">
        <x:v>2024-04</x:v>
      </x:c>
      <x:c r="B40" s="32" t="n">
        <x:v>0.3728405543185094</x:v>
      </x:c>
      <x:c r="C40" s="32" t="n">
        <x:v>0.01758936228228536</x:v>
      </x:c>
      <x:c r="D40" s="32" t="n">
        <x:v>0.3969879441842332</x:v>
      </x:c>
    </x:row>
    <x:row r="41">
      <x:c r="A41" s="31" t="str">
        <x:v>2024-05</x:v>
      </x:c>
      <x:c r="B41" s="32" t="n">
        <x:v>0.37393078161383175</x:v>
      </x:c>
      <x:c r="C41" s="32" t="n">
        <x:v>-0.035533269981028015</x:v>
      </x:c>
      <x:c r="D41" s="32" t="n">
        <x:v>0.32511052821550424</x:v>
      </x:c>
    </x:row>
    <x:row r="42">
      <x:c r="A42" s="31" t="str">
        <x:v>2024-06</x:v>
      </x:c>
      <x:c r="B42" s="32" t="n">
        <x:v>0.43656338908705217</x:v>
      </x:c>
      <x:c r="C42" s="32" t="n">
        <x:v>-0.040068799107037756</x:v>
      </x:c>
      <x:c r="D42" s="32" t="n">
        <x:v>0.37900201924519905</x:v>
      </x:c>
    </x:row>
    <x:row r="43">
      <x:c r="A43" s="31" t="str">
        <x:v>2024-07</x:v>
      </x:c>
      <x:c r="B43" s="32" t="n">
        <x:v>0.4185352286572177</x:v>
      </x:c>
      <x:c r="C43" s="32" t="n">
        <x:v>-0.050368304680209586</x:v>
      </x:c>
      <x:c r="D43" s="32" t="n">
        <x:v>0.3470860140606016</x:v>
      </x:c>
    </x:row>
    <x:row r="44">
      <x:c r="A44" s="31" t="str">
        <x:v>2024-08</x:v>
      </x:c>
      <x:c r="B44" s="32" t="n">
        <x:v>0.47888473928553377</x:v>
      </x:c>
      <x:c r="C44" s="32" t="n">
        <x:v>-0.02927775158403556</x:v>
      </x:c>
      <x:c r="D44" s="32" t="n">
        <x:v>0.43558631926731284</x:v>
      </x:c>
    </x:row>
    <x:row r="45">
      <x:c r="A45" s="31" t="str">
        <x:v>2024-09</x:v>
      </x:c>
      <x:c r="B45" s="32" t="n">
        <x:v>0.6513901281284027</x:v>
      </x:c>
      <x:c r="C45" s="32" t="n">
        <x:v>-0.04004582549783575</x:v>
      </x:c>
      <x:c r="D45" s="32" t="n">
        <x:v>0.5852588472285263</x:v>
      </x:c>
    </x:row>
    <x:row r="46">
      <x:c r="A46" s="31" t="str">
        <x:v>2024-10</x:v>
      </x:c>
      <x:c r="B46" s="32" t="n">
        <x:v>0.6051017722347902</x:v>
      </x:c>
      <x:c r="C46" s="32" t="n">
        <x:v>-0.052586214646695995</x:v>
      </x:c>
      <x:c r="D46" s="32" t="n">
        <x:v>0.5206955459102616</x:v>
      </x:c>
    </x:row>
    <x:row r="47">
      <x:c r="A47" s="31" t="str">
        <x:v>2024-11</x:v>
      </x:c>
      <x:c r="B47" s="32" t="n">
        <x:v>0.5698863856652832</x:v>
      </x:c>
      <x:c r="C47" s="32" t="n">
        <x:v>-0.04249436940126727</x:v>
      </x:c>
      <x:c r="D47" s="32" t="n">
        <x:v>0.5031750536748045</x:v>
      </x:c>
    </x:row>
    <x:row r="48">
      <x:c r="A48" s="31" t="str">
        <x:v>2024-12</x:v>
      </x:c>
      <x:c r="B48" s="32" t="n">
        <x:v>0.5872769399228497</x:v>
      </x:c>
      <x:c r="C48" s="32" t="n">
        <x:v>-0.00022416744877717942</x:v>
      </x:c>
      <x:c r="D48" s="32" t="n">
        <x:v>0.5869211241007266</x:v>
      </x:c>
    </x:row>
    <x:row r="49">
      <x:c r="A49" s="31" t="str">
        <x:v>2025-01</x:v>
      </x:c>
      <x:c r="B49" s="32" t="n">
        <x:v>0.583634424799442</x:v>
      </x:c>
      <x:c r="C49" s="32" t="n">
        <x:v>-0.05299011766455586</x:v>
      </x:c>
      <x:c r="D49" s="32" t="n">
        <x:v>0.4997174502916806</x:v>
      </x:c>
    </x:row>
    <x:row r="50">
      <x:c r="A50" s="31" t="str">
        <x:v>2025-02</x:v>
      </x:c>
      <x:c r="B50" s="32" t="n">
        <x:v>0.5885470765343088</x:v>
      </x:c>
      <x:c r="C50" s="32" t="n">
        <x:v>-0.027644460390439107</x:v>
      </x:c>
      <x:c r="D50" s="32" t="n">
        <x:v>0.5446325497987106</x:v>
      </x:c>
    </x:row>
    <x:row r="51">
      <x:c r="A51" s="31" t="str">
        <x:v>2025-03</x:v>
      </x:c>
      <x:c r="B51" s="32" t="n">
        <x:v>0.6076159247832253</x:v>
      </x:c>
      <x:c r="C51" s="32" t="n">
        <x:v>0.054854593339751734</x:v>
      </x:c>
      <x:c r="D51" s="32" t="n">
        <x:v>0.6958010425837204</x:v>
      </x:c>
    </x:row>
    <x:row r="52">
      <x:c r="A52" s="31" t="str">
        <x:v>2025-04</x:v>
      </x:c>
      <x:c r="B52" s="32" t="n">
        <x:v>0.6174226569604178</x:v>
      </x:c>
      <x:c r="C52" s="32" t="n">
        <x:v>0.09554984437011416</x:v>
      </x:c>
      <x:c r="D52" s="32" t="n">
        <x:v>0.7719671401136854</x:v>
      </x:c>
    </x:row>
    <x:row r="53">
      <x:c r="A53" s="31" t="str">
        <x:v>2025-05</x:v>
      </x:c>
      <x:c r="B53" s="32" t="n">
        <x:v>0.6224151663992377</x:v>
      </x:c>
      <x:c r="C53" s="32" t="n">
        <x:v>0.0865229388610933</x:v>
      </x:c>
      <x:c r="D53" s="32" t="n">
        <x:v>0.7627912946489126</x:v>
      </x:c>
    </x:row>
    <x:row r="54">
      <x:c r="A54" s="31" t="str">
        <x:v>2025-06</x:v>
      </x:c>
      <x:c r="B54" s="32" t="n">
        <x:v>0.497948980028176</x:v>
      </x:c>
      <x:c r="C54" s="32" t="n">
        <x:v>0.1159468480882535</x:v>
      </x:c>
      <x:c r="D54" s="32" t="n">
        <x:v>0.6716314428594605</x:v>
      </x:c>
    </x:row>
    <x:row r="55">
      <x:c r="A55" s="31" t="str">
        <x:v>2025-07</x:v>
      </x:c>
      <x:c r="B55" s="32" t="n">
        <x:v>0.46603190354253843</x:v>
      </x:c>
      <x:c r="C55" s="32" t="n">
        <x:v>0.11030803085206764</x:v>
      </x:c>
      <x:c r="D55" s="32" t="n">
        <x:v>0.6277469959886279</x:v>
      </x:c>
    </x:row>
    <x:row r="56">
      <x:c r="A56" s="31" t="str">
        <x:v>2025-08</x:v>
      </x:c>
      <x:c r="B56" s="32" t="n">
        <x:v>0.4470748387531174</x:v>
      </x:c>
      <x:c r="C56" s="32" t="n">
        <x:v>0.08632513816572263</x:v>
      </x:c>
      <x:c r="D56" s="32" t="n">
        <x:v>0.5719937741446253</x:v>
      </x:c>
    </x:row>
    <x:row r="57">
      <x:c r="A57" s="31" t="str">
        <x:v>2025-09</x:v>
      </x:c>
      <x:c r="B57" s="32" t="n">
        <x:v>0.496466323794567</x:v>
      </x:c>
      <x:c r="C57" s="32" t="n">
        <x:v>0.11334238921299788</x:v>
      </x:c>
      <x:c r="D57" s="32" t="n">
        <x:v>0.6660793923102395</x:v>
      </x:c>
    </x:row>
    <x:row r="58">
      <x:c r="A58" s="31" t="str">
        <x:v>2025-10</x:v>
      </x:c>
      <x:c r="B58" s="32" t="n">
        <x:v>0.49227254038744483</x:v>
      </x:c>
      <x:c r="C58" s="32" t="n">
        <x:v>0.10992129096815506</x:v>
      </x:c>
      <x:c r="D58" s="32" t="n">
        <x:v>0.6563050645031661</x:v>
      </x:c>
    </x:row>
    <x:row r="59">
      <x:c r="A59" s="31" t="str">
        <x:v>2025-11</x:v>
      </x:c>
      <x:c r="B59" s="32" t="n">
        <x:v>0.4360994888890035</x:v>
      </x:c>
      <x:c r="C59" s="32" t="n">
        <x:v>0.1012019784188447</x:v>
      </x:c>
      <x:c r="D59" s="32" t="n">
        <x:v>0.5814355983708663</x:v>
      </x:c>
    </x:row>
    <x:row r="60">
      <x:c r="A60" s="31" t="str">
        <x:v>2025-12</x:v>
      </x:c>
      <x:c r="B60" s="32" t="n">
        <x:v>0.49530037570036556</x:v>
      </x:c>
      <x:c r="C60" s="32" t="n">
        <x:v>0.13068556173013368</x:v>
      </x:c>
      <x:c r="D60" s="32" t="n">
        <x:v>0.6907145452540524</x:v>
      </x:c>
    </x:row>
    <x:row r="61">
      <x:c r="A61" s="31" t="str">
        <x:v>2026-01</x:v>
      </x:c>
      <x:c r="B61" s="32" t="n">
        <x:v>0.45905267678179085</x:v>
      </x:c>
      <x:c r="C61" s="32" t="n">
        <x:v>0.1321160334273901</x:v>
      </x:c>
      <x:c r="D61" s="32" t="n">
        <x:v>0.6518169289998212</x:v>
      </x:c>
    </x:row>
    <x:row r="62">
      <x:c r="A62" s="31" t="str">
        <x:v>2026-02</x:v>
      </x:c>
      <x:c r="B62" s="32" t="n">
        <x:v>0.4394804236173009</x:v>
      </x:c>
      <x:c r="C62" s="32" t="n">
        <x:v>0.12542966675637368</x:v>
      </x:c>
      <x:c r="D62" s="32" t="n">
        <x:v>0.6200339734539466</x:v>
      </x:c>
    </x:row>
    <x:row r="63">
      <x:c r="A63" s="31" t="str">
        <x:v>2026-03</x:v>
      </x:c>
      <x:c r="B63" s="32" t="n">
        <x:v>0.39337828268934083</x:v>
      </x:c>
      <x:c r="C63" s="32" t="n">
        <x:v>0.14567807476218597</x:v>
      </x:c>
      <x:c r="D63" s="32" t="n">
        <x:v>0.5963629483269681</x:v>
      </x:c>
    </x:row>
    <x:row r="64">
      <x:c r="A64" s="31" t="str">
        <x:v>2026-04</x:v>
      </x:c>
      <x:c r="B64" s="32" t="n">
        <x:v>0.3513162512414858</x:v>
      </x:c>
      <x:c r="C64" s="32" t="n">
        <x:v>0.17723064183993076</x:v>
      </x:c>
      <x:c r="D64" s="32" t="n">
        <x:v>0.5908108977777473</x:v>
      </x:c>
    </x:row>
    <x:row r="65">
      <x:c r="A65" s="31" t="str">
        <x:v>2026-05</x:v>
      </x:c>
      <x:c r="B65" s="32" t="n">
        <x:v>0.36002542401104654</x:v>
      </x:c>
      <x:c r="C65" s="32" t="n">
        <x:v>0.15627176250821861</x:v>
      </x:c>
      <x:c r="D65" s="32" t="n">
        <x:v>0.572558994077244</x:v>
      </x:c>
    </x:row>
    <x:row r="66">
      <x:c r="A66" s="31" t="str">
        <x:v>2026-06</x:v>
      </x:c>
      <x:c r="B66" s="32" t="n">
        <x:v>0.34137459638118317</x:v>
      </x:c>
      <x:c r="C66" s="32" t="n">
        <x:v>0.16560734186656934</x:v>
      </x:c>
      <x:c r="D66" s="32" t="n">
        <x:v>0.5635160777352171</x:v>
      </x:c>
    </x:row>
    <x:row r="67">
      <x:c r="A67" s="31" t="str">
        <x:v>2026-07</x:v>
      </x:c>
      <x:c r="B67" s="32" t="n">
        <x:v>0.3595195957047723</x:v>
      </x:c>
      <x:c r="C67" s="32" t="n">
        <x:v>0.2220676700854809</x:v>
      </x:c>
      <x:c r="D67" s="32" t="n">
        <x:v>0.6614249447584897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67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0e3a56072c78474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BRK.B</x:v>
      </x:c>
    </x:row>
    <x:row r="5" ht="24" customHeight="1">
      <x:c r="A5" s="37" t="str">
        <x:v>用户指定起始年</x:v>
      </x:c>
      <x:c r="B5" s="37" t="n">
        <x:v>2022</x:v>
      </x:c>
    </x:row>
    <x:row r="6" ht="42" customHeight="1">
      <x:c r="A6" s="37" t="str">
        <x:v>实际首个交易日</x:v>
      </x:c>
      <x:c r="B6" s="37" t="str">
        <x:v>2022-01-03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https://totalrealreturns.com/n/BRK-B?start=1996-05-09&amp;end=2026-07-24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0.34675841111170236</x:v>
      </x:c>
      <x:c r="C12" s="20" t="n">
        <x:v>0.06756987167696282</x:v>
      </x:c>
      <x:c r="D12" s="20" t="n">
        <x:v>-0.19413340700897563</x:v>
      </x:c>
      <x:c r="E12" s="20" t="n">
        <x:v>0.11979642385837695</x:v>
      </x:c>
      <x:c r="F12" s="20" t="n">
        <x:v>0.531933508311461</x:v>
      </x:c>
      <x:c r="G12" s="21" t="n">
        <x:v>276</x:v>
      </x:c>
    </x:row>
    <x:row r="13" ht="24" customHeight="1">
      <x:c r="A13" s="17" t="str">
        <x:v>B</x:v>
      </x:c>
      <x:c r="B13" s="20" t="n">
        <x:v>0.2217734570510379</x:v>
      </x:c>
      <x:c r="C13" s="20" t="n">
        <x:v>0.044975340710933454</x:v>
      </x:c>
      <x:c r="D13" s="20" t="n">
        <x:v>-0.1851254307093868</x:v>
      </x:c>
      <x:c r="E13" s="20" t="n">
        <x:v>0.12633748698498184</x:v>
      </x:c>
      <x:c r="F13" s="20" t="n">
        <x:v>0.4689413823272091</x:v>
      </x:c>
      <x:c r="G13" s="21" t="n">
        <x:v>277</x:v>
      </x:c>
    </x:row>
    <x:row r="14" ht="24" customHeight="1">
      <x:c r="A14" s="17" t="str">
        <x:v>C</x:v>
      </x:c>
      <x:c r="B14" s="20" t="n">
        <x:v>0.6454336797565108</x:v>
      </x:c>
      <x:c r="C14" s="20" t="n">
        <x:v>0.11558419038836232</x:v>
      </x:c>
      <x:c r="D14" s="20" t="n">
        <x:v>-0.2657896747833375</x:v>
      </x:c>
      <x:c r="E14" s="20" t="n">
        <x:v>0.17401764989625682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